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technijian365.sharepoint.com/sites/technijian/Shared Documents/General/Public/Sales/My Sip/"/>
    </mc:Choice>
  </mc:AlternateContent>
  <xr:revisionPtr revIDLastSave="51" documentId="13_ncr:1_{41639897-40D3-42FC-A3B7-6A2F225AEC50}" xr6:coauthVersionLast="47" xr6:coauthVersionMax="47" xr10:uidLastSave="{E04501E1-6A3E-4459-94B8-640D42223741}"/>
  <bookViews>
    <workbookView xWindow="37140" yWindow="4110" windowWidth="38955" windowHeight="15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1" i="1" l="1"/>
  <c r="D171" i="1" s="1"/>
  <c r="B170" i="1"/>
  <c r="B169" i="1"/>
  <c r="B168" i="1"/>
  <c r="B167" i="1"/>
  <c r="B166" i="1"/>
  <c r="B187" i="1"/>
  <c r="D187" i="1" s="1"/>
  <c r="B188" i="1"/>
  <c r="D188" i="1" s="1"/>
  <c r="B189" i="1"/>
  <c r="D189" i="1" s="1"/>
  <c r="B190" i="1"/>
  <c r="D190" i="1" s="1"/>
  <c r="B191" i="1"/>
  <c r="D191" i="1" s="1"/>
  <c r="B186" i="1"/>
  <c r="D186" i="1"/>
  <c r="D181" i="1"/>
  <c r="B181" i="1"/>
  <c r="D180" i="1"/>
  <c r="B180" i="1"/>
  <c r="D179" i="1"/>
  <c r="B179" i="1"/>
  <c r="D178" i="1"/>
  <c r="B178" i="1"/>
  <c r="D177" i="1"/>
  <c r="B177" i="1"/>
  <c r="D176" i="1"/>
  <c r="B176" i="1"/>
  <c r="D170" i="1"/>
  <c r="D169" i="1"/>
  <c r="D168" i="1"/>
  <c r="D167" i="1"/>
  <c r="D166" i="1"/>
  <c r="D157" i="1"/>
  <c r="B161" i="1"/>
  <c r="D161" i="1" s="1"/>
  <c r="B160" i="1"/>
  <c r="D160" i="1" s="1"/>
  <c r="B159" i="1"/>
  <c r="D159" i="1" s="1"/>
  <c r="B158" i="1"/>
  <c r="D158" i="1" s="1"/>
  <c r="B157" i="1"/>
  <c r="B156" i="1"/>
  <c r="D156" i="1" s="1"/>
  <c r="B151" i="1"/>
  <c r="D151" i="1" s="1"/>
  <c r="B150" i="1"/>
  <c r="D150" i="1" s="1"/>
  <c r="B149" i="1"/>
  <c r="B148" i="1"/>
  <c r="B147" i="1"/>
  <c r="D147" i="1" s="1"/>
  <c r="B146" i="1"/>
  <c r="D146" i="1" s="1"/>
  <c r="C149" i="1"/>
  <c r="D149" i="1" s="1"/>
  <c r="C148" i="1"/>
  <c r="B142" i="1"/>
  <c r="D142" i="1"/>
  <c r="B138" i="1"/>
  <c r="D138" i="1" s="1"/>
  <c r="B139" i="1"/>
  <c r="D139" i="1" s="1"/>
  <c r="B140" i="1"/>
  <c r="D140" i="1" s="1"/>
  <c r="B141" i="1"/>
  <c r="D141" i="1" s="1"/>
  <c r="B137" i="1"/>
  <c r="D137" i="1"/>
  <c r="D129" i="1"/>
  <c r="D130" i="1"/>
  <c r="D131" i="1"/>
  <c r="D132" i="1"/>
  <c r="D128" i="1"/>
  <c r="B129" i="1"/>
  <c r="B130" i="1"/>
  <c r="B131" i="1"/>
  <c r="B132" i="1"/>
  <c r="B133" i="1"/>
  <c r="D133" i="1" s="1"/>
  <c r="B128" i="1"/>
  <c r="B120" i="1"/>
  <c r="B119" i="1"/>
  <c r="B118" i="1"/>
  <c r="D192" i="1" l="1"/>
  <c r="D182" i="1"/>
  <c r="D162" i="1"/>
  <c r="D172" i="1"/>
  <c r="D134" i="1"/>
  <c r="D148" i="1"/>
  <c r="D152" i="1"/>
  <c r="D143" i="1"/>
  <c r="E117" i="1"/>
  <c r="E118" i="1"/>
  <c r="E119" i="1"/>
  <c r="E120" i="1"/>
  <c r="E121" i="1"/>
  <c r="E116" i="1"/>
  <c r="D118" i="1"/>
  <c r="D119" i="1"/>
  <c r="D117" i="1"/>
  <c r="D120" i="1"/>
  <c r="B117" i="1"/>
  <c r="B121" i="1"/>
  <c r="D121" i="1" s="1"/>
  <c r="B116" i="1"/>
  <c r="D116" i="1" s="1"/>
  <c r="B29" i="1"/>
  <c r="B28" i="1"/>
  <c r="B97" i="1"/>
  <c r="F97" i="1" s="1"/>
  <c r="B106" i="1"/>
  <c r="D106" i="1"/>
  <c r="B98" i="1"/>
  <c r="F98" i="1" s="1"/>
  <c r="B107" i="1"/>
  <c r="D107" i="1"/>
  <c r="B95" i="1"/>
  <c r="F95" i="1" s="1"/>
  <c r="B104" i="1"/>
  <c r="D104" i="1"/>
  <c r="B96" i="1"/>
  <c r="B105" i="1"/>
  <c r="D105" i="1"/>
  <c r="B99" i="1"/>
  <c r="F99" i="1" s="1"/>
  <c r="B108" i="1"/>
  <c r="D108" i="1"/>
  <c r="B100" i="1"/>
  <c r="F100" i="1" s="1"/>
  <c r="B109" i="1"/>
  <c r="D109" i="1"/>
  <c r="F96" i="1"/>
  <c r="E95" i="1"/>
  <c r="E96" i="1"/>
  <c r="E97" i="1"/>
  <c r="E98" i="1"/>
  <c r="B86" i="1"/>
  <c r="D86" i="1"/>
  <c r="B87" i="1"/>
  <c r="D87" i="1"/>
  <c r="B88" i="1"/>
  <c r="D88" i="1"/>
  <c r="B89" i="1"/>
  <c r="D89" i="1"/>
  <c r="B90" i="1"/>
  <c r="B91" i="1"/>
  <c r="B40" i="1"/>
  <c r="B77" i="1"/>
  <c r="D77" i="1"/>
  <c r="E77" i="1"/>
  <c r="B41" i="1"/>
  <c r="B78" i="1"/>
  <c r="D78" i="1"/>
  <c r="E78" i="1"/>
  <c r="E83" i="1"/>
  <c r="B45" i="1"/>
  <c r="B82" i="1"/>
  <c r="B44" i="1"/>
  <c r="B81" i="1"/>
  <c r="B43" i="1"/>
  <c r="D43" i="1" s="1"/>
  <c r="B80" i="1"/>
  <c r="D80" i="1"/>
  <c r="B42" i="1"/>
  <c r="D42" i="1" s="1"/>
  <c r="B79" i="1"/>
  <c r="D79" i="1" s="1"/>
  <c r="D81" i="1"/>
  <c r="D82" i="1"/>
  <c r="D69" i="1"/>
  <c r="D68" i="1"/>
  <c r="D67" i="1"/>
  <c r="C69" i="1"/>
  <c r="C68" i="1"/>
  <c r="C67" i="1"/>
  <c r="B69" i="1"/>
  <c r="B68" i="1"/>
  <c r="B67" i="1"/>
  <c r="D50" i="1"/>
  <c r="B34" i="1"/>
  <c r="D44" i="1"/>
  <c r="E68" i="1"/>
  <c r="G68" i="1" s="1"/>
  <c r="D57" i="1"/>
  <c r="E57" i="1"/>
  <c r="E69" i="1"/>
  <c r="F69" i="1" s="1"/>
  <c r="D58" i="1"/>
  <c r="E58" i="1"/>
  <c r="D40" i="1"/>
  <c r="E65" i="1"/>
  <c r="F65" i="1" s="1"/>
  <c r="D54" i="1"/>
  <c r="E54" i="1"/>
  <c r="D41" i="1"/>
  <c r="F46" i="1"/>
  <c r="E66" i="1"/>
  <c r="J21" i="1"/>
  <c r="J20" i="1"/>
  <c r="H21" i="1"/>
  <c r="H22" i="1"/>
  <c r="H23" i="1"/>
  <c r="H24" i="1"/>
  <c r="I24" i="1"/>
  <c r="J24" i="1"/>
  <c r="H20" i="1"/>
  <c r="F21" i="1"/>
  <c r="F22" i="1"/>
  <c r="F23" i="1"/>
  <c r="F24" i="1"/>
  <c r="F20" i="1"/>
  <c r="B9" i="1"/>
  <c r="C16" i="1"/>
  <c r="D21" i="1"/>
  <c r="D22" i="1"/>
  <c r="D23" i="1"/>
  <c r="D27" i="1" s="1"/>
  <c r="J27" i="1" s="1"/>
  <c r="D24" i="1"/>
  <c r="D20" i="1"/>
  <c r="F66" i="1"/>
  <c r="G66" i="1"/>
  <c r="H66" i="1"/>
  <c r="G65" i="1"/>
  <c r="H65" i="1"/>
  <c r="F68" i="1"/>
  <c r="H68" i="1"/>
  <c r="F27" i="1"/>
  <c r="H27" i="1"/>
  <c r="I27" i="1"/>
  <c r="I31" i="1"/>
  <c r="E122" i="1" l="1"/>
  <c r="E100" i="1"/>
  <c r="D110" i="1"/>
  <c r="D111" i="1" s="1"/>
  <c r="G69" i="1"/>
  <c r="E99" i="1"/>
  <c r="E101" i="1" s="1"/>
  <c r="H69" i="1"/>
  <c r="D46" i="1"/>
  <c r="E44" i="1"/>
  <c r="D56" i="1"/>
  <c r="E56" i="1" s="1"/>
  <c r="D92" i="1"/>
  <c r="D83" i="1"/>
  <c r="F101" i="1"/>
  <c r="E67" i="1"/>
  <c r="E60" i="1"/>
  <c r="D122" i="1"/>
  <c r="D124" i="1" s="1"/>
  <c r="D125" i="1" s="1"/>
  <c r="F122" i="1"/>
  <c r="G67" i="1" l="1"/>
  <c r="G72" i="1" s="1"/>
  <c r="F67" i="1"/>
  <c r="F72" i="1" s="1"/>
  <c r="H67" i="1"/>
  <c r="H72" i="1" s="1"/>
</calcChain>
</file>

<file path=xl/sharedStrings.xml><?xml version="1.0" encoding="utf-8"?>
<sst xmlns="http://schemas.openxmlformats.org/spreadsheetml/2006/main" count="173" uniqueCount="64">
  <si>
    <t>Nexvrotex</t>
  </si>
  <si>
    <t>Voice</t>
  </si>
  <si>
    <t>TFN</t>
  </si>
  <si>
    <t>Appia</t>
  </si>
  <si>
    <t>DID</t>
  </si>
  <si>
    <t>Telepacific</t>
  </si>
  <si>
    <t>TFN Cost</t>
  </si>
  <si>
    <t>Concurrent Call paths</t>
  </si>
  <si>
    <t>unlimited</t>
  </si>
  <si>
    <t>120 DID</t>
  </si>
  <si>
    <t>14 TFN</t>
  </si>
  <si>
    <t>6,000 Incoming</t>
  </si>
  <si>
    <t>6,000 Outgoing</t>
  </si>
  <si>
    <t>2156.1 TFN Minutes</t>
  </si>
  <si>
    <t>DID4Sale</t>
  </si>
  <si>
    <t>Inbound</t>
  </si>
  <si>
    <t>Outbound</t>
  </si>
  <si>
    <t>TFN Inb</t>
  </si>
  <si>
    <t>SMS</t>
  </si>
  <si>
    <t>Cost</t>
  </si>
  <si>
    <t>TRC</t>
  </si>
  <si>
    <t>TRC Cost</t>
  </si>
  <si>
    <t>20 Mbps</t>
  </si>
  <si>
    <t>100 Mbps</t>
  </si>
  <si>
    <t>TRC Pricing</t>
  </si>
  <si>
    <t>TRC Pricing (2x)</t>
  </si>
  <si>
    <t>Total</t>
  </si>
  <si>
    <t>CAG</t>
  </si>
  <si>
    <t>Nexvortex</t>
  </si>
  <si>
    <t>Monthly</t>
  </si>
  <si>
    <t>Usage</t>
  </si>
  <si>
    <t>Taxes</t>
  </si>
  <si>
    <t>Packages</t>
  </si>
  <si>
    <t>7500-2500</t>
  </si>
  <si>
    <t>2000-250</t>
  </si>
  <si>
    <t>Ringleader</t>
  </si>
  <si>
    <t>Sample Site</t>
  </si>
  <si>
    <t>10K/10K</t>
  </si>
  <si>
    <t>DLC</t>
  </si>
  <si>
    <t>Jan</t>
  </si>
  <si>
    <t>Feb</t>
  </si>
  <si>
    <t>Mar</t>
  </si>
  <si>
    <t>Ringcentral</t>
  </si>
  <si>
    <t xml:space="preserve">Jan </t>
  </si>
  <si>
    <t>Cox Internet</t>
  </si>
  <si>
    <t>AT&amp;T</t>
  </si>
  <si>
    <t>RBW</t>
  </si>
  <si>
    <t>Total Base Price</t>
  </si>
  <si>
    <t>Target ($274)</t>
  </si>
  <si>
    <t>Price</t>
  </si>
  <si>
    <t>FLF</t>
  </si>
  <si>
    <t xml:space="preserve">EFAX </t>
  </si>
  <si>
    <t>Basic Line</t>
  </si>
  <si>
    <t>Heavy line</t>
  </si>
  <si>
    <t>Basic</t>
  </si>
  <si>
    <t>Heavy</t>
  </si>
  <si>
    <t>Navy</t>
  </si>
  <si>
    <t>RMI</t>
  </si>
  <si>
    <t>VAF</t>
  </si>
  <si>
    <t>CC AND C</t>
  </si>
  <si>
    <t>Tenant</t>
  </si>
  <si>
    <t>JDH Pacific</t>
  </si>
  <si>
    <t>ORX</t>
  </si>
  <si>
    <t>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</si>
</sst>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_(&quot;$&quot;* #,##0.00000_);_(&quot;$&quot;* \(#,##0.00000\);_(&quot;$&quot;* &quot;-&quot;??_);_(@_)"/>
    <numFmt numFmtId="166" formatCode="_(&quot;$&quot;* #,##0.0000_);_(&quot;$&quot;* \(#,##0.0000\);_(&quot;$&quot;* &quot;-&quot;????_);_(@_)"/>
    <numFmt numFmtId="167" formatCode="_(&quot;$&quot;* #,##0.00_);_(&quot;$&quot;* \(#,##0.00\);_(&quot;$&quot;* &quot;-&quot;?????_);_(@_)"/>
    <numFmt numFmtId="168" formatCode="_(&quot;$&quot;* #,##0.00_);_(&quot;$&quot;* \(#,##0.00\);_(&quot;$&quot;* &quot;-&quot;????_);_(@_)"/>
    <numFmt numFmtId="169" formatCode="_(&quot;$&quot;* #,##0.00000_);_(&quot;$&quot;* \(#,##0.00000\);_(&quot;$&quot;* &quot;-&quot;?????_);_(@_)"/>
    <numFmt numFmtId="170" formatCode="_(&quot;$&quot;* #,##0.000_);_(&quot;$&quot;* \(#,##0.0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44" fontId="2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92"/>
  <sheetViews>
    <sheetView tabSelected="1" topLeftCell="A163" zoomScale="125" zoomScaleNormal="125" workbookViewId="0">
      <selection activeCell="C182" sqref="C182"/>
    </sheetView>
  </sheetViews>
  <sheetFormatPr defaultColWidth="25.7109375" defaultRowHeight="15" x14ac:dyDescent="0.25"/>
  <cols>
    <col min="1" max="1" width="25.7109375" style="1"/>
    <col min="2" max="2" width="20.28515625" style="1" customWidth="1"/>
    <col min="3" max="3" width="18" style="1" customWidth="1"/>
    <col min="4" max="16384" width="25.7109375" style="1"/>
  </cols>
  <sheetData>
    <row r="4" spans="1:7" x14ac:dyDescent="0.25">
      <c r="A4" s="1" t="s">
        <v>7</v>
      </c>
      <c r="C4" s="1" t="s">
        <v>4</v>
      </c>
      <c r="D4" s="1" t="s">
        <v>1</v>
      </c>
      <c r="E4" s="1" t="s">
        <v>2</v>
      </c>
      <c r="F4" s="1" t="s">
        <v>6</v>
      </c>
    </row>
    <row r="5" spans="1:7" x14ac:dyDescent="0.25">
      <c r="A5" s="1" t="s">
        <v>8</v>
      </c>
      <c r="B5" s="1" t="s">
        <v>0</v>
      </c>
      <c r="C5" s="1">
        <v>10</v>
      </c>
      <c r="D5" s="3">
        <v>1.9900000000000001E-2</v>
      </c>
      <c r="E5" s="4">
        <v>3.5000000000000003E-2</v>
      </c>
    </row>
    <row r="6" spans="1:7" x14ac:dyDescent="0.25">
      <c r="A6" s="1" t="s">
        <v>8</v>
      </c>
      <c r="B6" s="1" t="s">
        <v>3</v>
      </c>
      <c r="C6" s="1">
        <v>8</v>
      </c>
      <c r="D6" s="3">
        <v>1.55E-2</v>
      </c>
      <c r="E6" s="4">
        <v>2.5000000000000001E-2</v>
      </c>
    </row>
    <row r="7" spans="1:7" x14ac:dyDescent="0.25">
      <c r="D7" s="3"/>
      <c r="E7" s="4"/>
    </row>
    <row r="8" spans="1:7" x14ac:dyDescent="0.25">
      <c r="A8" s="1" t="s">
        <v>20</v>
      </c>
      <c r="D8" s="3"/>
      <c r="E8" s="4"/>
    </row>
    <row r="9" spans="1:7" x14ac:dyDescent="0.25">
      <c r="A9" s="1" t="s">
        <v>5</v>
      </c>
      <c r="B9" s="2">
        <f>5105.98-B15-B16</f>
        <v>3126.5999999999995</v>
      </c>
      <c r="D9" s="3"/>
      <c r="E9" s="4"/>
      <c r="G9" s="8"/>
    </row>
    <row r="10" spans="1:7" x14ac:dyDescent="0.25">
      <c r="A10" s="1" t="s">
        <v>9</v>
      </c>
      <c r="B10" s="2"/>
      <c r="D10" s="3"/>
      <c r="E10" s="4"/>
    </row>
    <row r="11" spans="1:7" x14ac:dyDescent="0.25">
      <c r="A11" s="1" t="s">
        <v>10</v>
      </c>
      <c r="B11" s="2"/>
      <c r="D11" s="3"/>
      <c r="E11" s="4"/>
    </row>
    <row r="12" spans="1:7" x14ac:dyDescent="0.25">
      <c r="A12" s="1" t="s">
        <v>11</v>
      </c>
      <c r="B12" s="2"/>
      <c r="D12" s="3"/>
      <c r="E12" s="4"/>
    </row>
    <row r="13" spans="1:7" x14ac:dyDescent="0.25">
      <c r="A13" s="1" t="s">
        <v>12</v>
      </c>
      <c r="B13" s="2"/>
      <c r="D13" s="3"/>
      <c r="E13" s="4"/>
    </row>
    <row r="14" spans="1:7" x14ac:dyDescent="0.25">
      <c r="A14" s="1" t="s">
        <v>13</v>
      </c>
      <c r="B14" s="2"/>
      <c r="D14" s="3" t="s">
        <v>44</v>
      </c>
      <c r="E14" s="4"/>
    </row>
    <row r="15" spans="1:7" x14ac:dyDescent="0.25">
      <c r="A15" s="1" t="s">
        <v>22</v>
      </c>
      <c r="B15" s="2">
        <v>796.3</v>
      </c>
      <c r="D15" s="3">
        <v>385</v>
      </c>
      <c r="E15" s="4"/>
    </row>
    <row r="16" spans="1:7" x14ac:dyDescent="0.25">
      <c r="A16" s="1" t="s">
        <v>23</v>
      </c>
      <c r="B16" s="2">
        <v>1183.08</v>
      </c>
      <c r="C16" s="11">
        <f>SUM(B9:B16)</f>
        <v>5105.9799999999996</v>
      </c>
      <c r="D16" s="3">
        <v>900</v>
      </c>
      <c r="E16" s="4"/>
    </row>
    <row r="17" spans="1:11" x14ac:dyDescent="0.25">
      <c r="D17" s="3"/>
      <c r="E17" s="4"/>
    </row>
    <row r="18" spans="1:11" x14ac:dyDescent="0.25">
      <c r="D18" s="3"/>
      <c r="E18" s="4"/>
    </row>
    <row r="19" spans="1:11" x14ac:dyDescent="0.25">
      <c r="A19" s="1" t="s">
        <v>14</v>
      </c>
      <c r="B19" s="1" t="s">
        <v>19</v>
      </c>
      <c r="C19" s="1" t="s">
        <v>20</v>
      </c>
      <c r="D19" s="3" t="s">
        <v>21</v>
      </c>
      <c r="E19" s="4" t="s">
        <v>25</v>
      </c>
      <c r="G19" s="1" t="s">
        <v>24</v>
      </c>
    </row>
    <row r="20" spans="1:11" x14ac:dyDescent="0.25">
      <c r="A20" s="1" t="s">
        <v>4</v>
      </c>
      <c r="B20" s="4">
        <v>0.6</v>
      </c>
      <c r="C20" s="1">
        <v>120</v>
      </c>
      <c r="D20" s="3">
        <f>C20*B20</f>
        <v>72</v>
      </c>
      <c r="E20" s="3">
        <v>2</v>
      </c>
      <c r="F20" s="6">
        <f>E20*C20</f>
        <v>240</v>
      </c>
      <c r="G20" s="2">
        <v>3</v>
      </c>
      <c r="H20" s="8">
        <f>G20*C20</f>
        <v>360</v>
      </c>
      <c r="J20" s="8">
        <f>G20*0.8</f>
        <v>2.4000000000000004</v>
      </c>
    </row>
    <row r="21" spans="1:11" x14ac:dyDescent="0.25">
      <c r="A21" s="1" t="s">
        <v>2</v>
      </c>
      <c r="B21" s="4">
        <v>1</v>
      </c>
      <c r="C21" s="1">
        <v>14</v>
      </c>
      <c r="D21" s="3">
        <f t="shared" ref="D21:D24" si="0">C21*B21</f>
        <v>14</v>
      </c>
      <c r="E21" s="3">
        <v>6</v>
      </c>
      <c r="F21" s="6">
        <f t="shared" ref="F21:F24" si="1">E21*C21</f>
        <v>84</v>
      </c>
      <c r="G21" s="7">
        <v>9</v>
      </c>
      <c r="H21" s="8">
        <f t="shared" ref="H21:H24" si="2">G21*C21</f>
        <v>126</v>
      </c>
      <c r="J21" s="8">
        <f>G21*0.8</f>
        <v>7.2</v>
      </c>
    </row>
    <row r="22" spans="1:11" x14ac:dyDescent="0.25">
      <c r="A22" s="1" t="s">
        <v>15</v>
      </c>
      <c r="B22" s="4">
        <v>2E-3</v>
      </c>
      <c r="C22" s="1">
        <v>7500</v>
      </c>
      <c r="D22" s="3">
        <f t="shared" si="0"/>
        <v>15</v>
      </c>
      <c r="E22" s="3">
        <v>1.4999999999999999E-2</v>
      </c>
      <c r="F22" s="6">
        <f t="shared" si="1"/>
        <v>112.5</v>
      </c>
      <c r="G22" s="2">
        <v>0.12</v>
      </c>
      <c r="H22" s="8">
        <f t="shared" si="2"/>
        <v>900</v>
      </c>
    </row>
    <row r="23" spans="1:11" x14ac:dyDescent="0.25">
      <c r="A23" s="1" t="s">
        <v>16</v>
      </c>
      <c r="B23" s="4">
        <v>6.4999999999999997E-3</v>
      </c>
      <c r="C23" s="1">
        <v>7500</v>
      </c>
      <c r="D23" s="3">
        <f t="shared" si="0"/>
        <v>48.75</v>
      </c>
      <c r="E23" s="3">
        <v>1.4999999999999999E-2</v>
      </c>
      <c r="F23" s="6">
        <f t="shared" si="1"/>
        <v>112.5</v>
      </c>
      <c r="G23" s="2">
        <v>0.12</v>
      </c>
      <c r="H23" s="8">
        <f t="shared" si="2"/>
        <v>900</v>
      </c>
    </row>
    <row r="24" spans="1:11" x14ac:dyDescent="0.25">
      <c r="A24" s="1" t="s">
        <v>17</v>
      </c>
      <c r="B24" s="4">
        <v>1.2E-2</v>
      </c>
      <c r="C24" s="1">
        <v>2500</v>
      </c>
      <c r="D24" s="3">
        <f t="shared" si="0"/>
        <v>30</v>
      </c>
      <c r="E24" s="3">
        <v>2.5000000000000001E-2</v>
      </c>
      <c r="F24" s="6">
        <f t="shared" si="1"/>
        <v>62.5</v>
      </c>
      <c r="G24" s="2">
        <v>0.15</v>
      </c>
      <c r="H24" s="8">
        <f t="shared" si="2"/>
        <v>375</v>
      </c>
      <c r="I24" s="8">
        <f>SUM(H22:H24)</f>
        <v>2175</v>
      </c>
      <c r="J24" s="8">
        <f>I24*0.8</f>
        <v>1740</v>
      </c>
      <c r="K24" s="8"/>
    </row>
    <row r="25" spans="1:11" x14ac:dyDescent="0.25">
      <c r="A25" s="1" t="s">
        <v>18</v>
      </c>
      <c r="B25" s="4">
        <v>5.0000000000000001E-3</v>
      </c>
    </row>
    <row r="27" spans="1:11" x14ac:dyDescent="0.25">
      <c r="D27" s="5">
        <f>SUM(D20:D25)</f>
        <v>179.75</v>
      </c>
      <c r="F27" s="6">
        <f>SUM(F20:F25)</f>
        <v>611.5</v>
      </c>
      <c r="H27" s="9">
        <f>SUM(H20:H25)</f>
        <v>2661</v>
      </c>
      <c r="I27" s="8">
        <f>H27*0.8</f>
        <v>2128.8000000000002</v>
      </c>
      <c r="J27" s="8">
        <f>I27-D27</f>
        <v>1949.0500000000002</v>
      </c>
    </row>
    <row r="28" spans="1:11" x14ac:dyDescent="0.25">
      <c r="B28" s="14">
        <f>B22*25000</f>
        <v>50</v>
      </c>
      <c r="G28" s="1" t="s">
        <v>23</v>
      </c>
      <c r="I28" s="2">
        <v>900</v>
      </c>
    </row>
    <row r="29" spans="1:11" x14ac:dyDescent="0.25">
      <c r="B29" s="8">
        <f>B23*5000</f>
        <v>32.5</v>
      </c>
      <c r="G29" s="1" t="s">
        <v>22</v>
      </c>
      <c r="I29" s="2">
        <v>385</v>
      </c>
    </row>
    <row r="31" spans="1:11" x14ac:dyDescent="0.25">
      <c r="G31" s="1" t="s">
        <v>26</v>
      </c>
      <c r="I31" s="13">
        <f>SUM(I27:I30)</f>
        <v>3413.8</v>
      </c>
    </row>
    <row r="33" spans="1:10" x14ac:dyDescent="0.25">
      <c r="A33" s="1" t="s">
        <v>27</v>
      </c>
    </row>
    <row r="34" spans="1:10" x14ac:dyDescent="0.25">
      <c r="A34" s="1" t="s">
        <v>28</v>
      </c>
      <c r="B34" s="11">
        <f>SUM(B35:B37)</f>
        <v>118.65</v>
      </c>
      <c r="C34" s="8"/>
    </row>
    <row r="35" spans="1:10" x14ac:dyDescent="0.25">
      <c r="A35" s="1" t="s">
        <v>29</v>
      </c>
      <c r="B35" s="2">
        <v>90</v>
      </c>
    </row>
    <row r="36" spans="1:10" x14ac:dyDescent="0.25">
      <c r="A36" s="1" t="s">
        <v>30</v>
      </c>
      <c r="B36" s="2">
        <v>4.9800000000000004</v>
      </c>
    </row>
    <row r="37" spans="1:10" x14ac:dyDescent="0.25">
      <c r="A37" s="1" t="s">
        <v>31</v>
      </c>
      <c r="B37" s="2">
        <v>23.67</v>
      </c>
      <c r="G37" s="1" t="s">
        <v>32</v>
      </c>
      <c r="I37" s="1" t="s">
        <v>4</v>
      </c>
      <c r="J37" s="1" t="s">
        <v>2</v>
      </c>
    </row>
    <row r="38" spans="1:10" x14ac:dyDescent="0.25">
      <c r="F38" s="10"/>
      <c r="G38" s="1" t="s">
        <v>33</v>
      </c>
      <c r="H38" s="2">
        <v>2175</v>
      </c>
      <c r="I38" s="2">
        <v>3</v>
      </c>
      <c r="J38" s="2">
        <v>9</v>
      </c>
    </row>
    <row r="39" spans="1:10" x14ac:dyDescent="0.25">
      <c r="B39" s="1" t="s">
        <v>19</v>
      </c>
      <c r="C39" s="1" t="s">
        <v>27</v>
      </c>
      <c r="G39" s="1" t="s">
        <v>34</v>
      </c>
      <c r="H39" s="2">
        <v>65</v>
      </c>
      <c r="I39" s="2">
        <v>2</v>
      </c>
      <c r="J39" s="2">
        <v>6</v>
      </c>
    </row>
    <row r="40" spans="1:10" x14ac:dyDescent="0.25">
      <c r="A40" s="1" t="s">
        <v>4</v>
      </c>
      <c r="B40" s="3">
        <f t="shared" ref="B40:B45" si="3">B20*2</f>
        <v>1.2</v>
      </c>
      <c r="C40" s="1">
        <v>6</v>
      </c>
      <c r="D40" s="6">
        <f>C40*B40</f>
        <v>7.1999999999999993</v>
      </c>
    </row>
    <row r="41" spans="1:10" x14ac:dyDescent="0.25">
      <c r="A41" s="1" t="s">
        <v>2</v>
      </c>
      <c r="B41" s="3">
        <f t="shared" si="3"/>
        <v>2</v>
      </c>
      <c r="C41" s="1">
        <v>2</v>
      </c>
      <c r="D41" s="6">
        <f t="shared" ref="D41:D44" si="4">C41*B41</f>
        <v>4</v>
      </c>
    </row>
    <row r="42" spans="1:10" x14ac:dyDescent="0.25">
      <c r="A42" s="1" t="s">
        <v>15</v>
      </c>
      <c r="B42" s="3">
        <f t="shared" si="3"/>
        <v>4.0000000000000001E-3</v>
      </c>
      <c r="C42" s="1">
        <v>2000</v>
      </c>
      <c r="D42" s="6">
        <f t="shared" si="4"/>
        <v>8</v>
      </c>
    </row>
    <row r="43" spans="1:10" x14ac:dyDescent="0.25">
      <c r="A43" s="1" t="s">
        <v>16</v>
      </c>
      <c r="B43" s="3">
        <f t="shared" si="3"/>
        <v>1.2999999999999999E-2</v>
      </c>
      <c r="C43" s="1">
        <v>2000</v>
      </c>
      <c r="D43" s="6">
        <f t="shared" si="4"/>
        <v>26</v>
      </c>
    </row>
    <row r="44" spans="1:10" x14ac:dyDescent="0.25">
      <c r="A44" s="1" t="s">
        <v>17</v>
      </c>
      <c r="B44" s="3">
        <f t="shared" si="3"/>
        <v>2.4E-2</v>
      </c>
      <c r="C44" s="1">
        <v>250</v>
      </c>
      <c r="D44" s="6">
        <f t="shared" si="4"/>
        <v>6</v>
      </c>
      <c r="E44" s="6">
        <f>SUM(D42:D44)</f>
        <v>40</v>
      </c>
      <c r="F44" s="2">
        <v>65</v>
      </c>
    </row>
    <row r="45" spans="1:10" x14ac:dyDescent="0.25">
      <c r="A45" s="1" t="s">
        <v>18</v>
      </c>
      <c r="B45" s="3">
        <f t="shared" si="3"/>
        <v>0.01</v>
      </c>
    </row>
    <row r="46" spans="1:10" x14ac:dyDescent="0.25">
      <c r="D46" s="6">
        <f>SUM(D40:D44)</f>
        <v>51.2</v>
      </c>
      <c r="F46" s="12">
        <f>SUM(F44,D41,D40)</f>
        <v>76.2</v>
      </c>
    </row>
    <row r="48" spans="1:10" x14ac:dyDescent="0.25">
      <c r="A48" s="1" t="s">
        <v>35</v>
      </c>
    </row>
    <row r="49" spans="1:8" x14ac:dyDescent="0.25">
      <c r="A49" s="1" t="s">
        <v>37</v>
      </c>
      <c r="B49" s="2">
        <v>125</v>
      </c>
    </row>
    <row r="50" spans="1:8" x14ac:dyDescent="0.25">
      <c r="A50" s="1" t="s">
        <v>2</v>
      </c>
      <c r="B50" s="3">
        <v>2.9000000000000001E-2</v>
      </c>
      <c r="C50" s="8"/>
      <c r="D50" s="8">
        <f>C50+B49</f>
        <v>125</v>
      </c>
    </row>
    <row r="53" spans="1:8" x14ac:dyDescent="0.25">
      <c r="C53" s="1" t="s">
        <v>36</v>
      </c>
      <c r="D53" s="1" t="s">
        <v>19</v>
      </c>
    </row>
    <row r="54" spans="1:8" x14ac:dyDescent="0.25">
      <c r="A54" s="1" t="s">
        <v>4</v>
      </c>
      <c r="B54" s="2">
        <v>1.5</v>
      </c>
      <c r="C54" s="1">
        <v>1</v>
      </c>
      <c r="D54" s="5">
        <f>B40</f>
        <v>1.2</v>
      </c>
      <c r="E54" s="6">
        <f>D54*C54</f>
        <v>1.2</v>
      </c>
    </row>
    <row r="55" spans="1:8" x14ac:dyDescent="0.25">
      <c r="A55" s="1" t="s">
        <v>2</v>
      </c>
      <c r="B55" s="2">
        <v>2</v>
      </c>
    </row>
    <row r="56" spans="1:8" x14ac:dyDescent="0.25">
      <c r="A56" s="1" t="s">
        <v>15</v>
      </c>
      <c r="C56" s="1">
        <v>5000</v>
      </c>
      <c r="D56" s="5">
        <f>B42</f>
        <v>4.0000000000000001E-3</v>
      </c>
      <c r="E56" s="6">
        <f>D56*C56</f>
        <v>20</v>
      </c>
    </row>
    <row r="57" spans="1:8" x14ac:dyDescent="0.25">
      <c r="A57" s="1" t="s">
        <v>16</v>
      </c>
      <c r="C57" s="1">
        <v>5000</v>
      </c>
      <c r="D57" s="5">
        <f>B43</f>
        <v>1.2999999999999999E-2</v>
      </c>
      <c r="E57" s="6">
        <f>D57*C57</f>
        <v>65</v>
      </c>
    </row>
    <row r="58" spans="1:8" x14ac:dyDescent="0.25">
      <c r="A58" s="1" t="s">
        <v>17</v>
      </c>
      <c r="C58" s="1">
        <v>0</v>
      </c>
      <c r="D58" s="5">
        <f>B44</f>
        <v>2.4E-2</v>
      </c>
      <c r="E58" s="6">
        <f>D58*C58</f>
        <v>0</v>
      </c>
    </row>
    <row r="59" spans="1:8" x14ac:dyDescent="0.25">
      <c r="A59" s="1" t="s">
        <v>18</v>
      </c>
      <c r="C59" s="1">
        <v>0</v>
      </c>
    </row>
    <row r="60" spans="1:8" x14ac:dyDescent="0.25">
      <c r="E60" s="6">
        <f>SUM(E54:E59)</f>
        <v>86.2</v>
      </c>
    </row>
    <row r="63" spans="1:8" x14ac:dyDescent="0.25">
      <c r="A63" s="1" t="s">
        <v>38</v>
      </c>
      <c r="B63" s="17" t="s">
        <v>42</v>
      </c>
      <c r="C63" s="17"/>
      <c r="D63" s="17"/>
      <c r="E63" s="17" t="s">
        <v>14</v>
      </c>
      <c r="F63" s="17"/>
      <c r="G63" s="17"/>
      <c r="H63" s="17"/>
    </row>
    <row r="64" spans="1:8" x14ac:dyDescent="0.25">
      <c r="B64" s="1" t="s">
        <v>39</v>
      </c>
      <c r="C64" s="1" t="s">
        <v>40</v>
      </c>
      <c r="D64" s="1" t="s">
        <v>41</v>
      </c>
      <c r="E64" s="1" t="s">
        <v>19</v>
      </c>
      <c r="F64" s="1" t="s">
        <v>43</v>
      </c>
      <c r="G64" s="1" t="s">
        <v>40</v>
      </c>
      <c r="H64" s="1" t="s">
        <v>41</v>
      </c>
    </row>
    <row r="65" spans="1:8" x14ac:dyDescent="0.25">
      <c r="A65" s="1" t="s">
        <v>4</v>
      </c>
      <c r="B65" s="1">
        <v>9</v>
      </c>
      <c r="C65" s="1">
        <v>9</v>
      </c>
      <c r="D65" s="1">
        <v>9</v>
      </c>
      <c r="E65" s="5">
        <f>B40*0.8</f>
        <v>0.96</v>
      </c>
      <c r="F65" s="6">
        <f>$E65*B65</f>
        <v>8.64</v>
      </c>
      <c r="G65" s="6">
        <f t="shared" ref="G65:H65" si="5">$E65*C65</f>
        <v>8.64</v>
      </c>
      <c r="H65" s="6">
        <f t="shared" si="5"/>
        <v>8.64</v>
      </c>
    </row>
    <row r="66" spans="1:8" x14ac:dyDescent="0.25">
      <c r="A66" s="1" t="s">
        <v>2</v>
      </c>
      <c r="B66" s="1">
        <v>1</v>
      </c>
      <c r="C66" s="1">
        <v>1</v>
      </c>
      <c r="D66" s="1">
        <v>1</v>
      </c>
      <c r="E66" s="5">
        <f>B41*0.8</f>
        <v>1.6</v>
      </c>
      <c r="F66" s="6">
        <f t="shared" ref="F66:F69" si="6">$E66*B66</f>
        <v>1.6</v>
      </c>
      <c r="G66" s="6">
        <f t="shared" ref="G66:G69" si="7">$E66*C66</f>
        <v>1.6</v>
      </c>
      <c r="H66" s="6">
        <f t="shared" ref="H66:H69" si="8">$E66*D66</f>
        <v>1.6</v>
      </c>
    </row>
    <row r="67" spans="1:8" x14ac:dyDescent="0.25">
      <c r="A67" s="1" t="s">
        <v>15</v>
      </c>
      <c r="B67" s="1">
        <f>58*60+28</f>
        <v>3508</v>
      </c>
      <c r="C67" s="1">
        <f>53*60+39</f>
        <v>3219</v>
      </c>
      <c r="D67" s="1">
        <f>83*60+0</f>
        <v>4980</v>
      </c>
      <c r="E67" s="5">
        <f>B42*0.8</f>
        <v>3.2000000000000002E-3</v>
      </c>
      <c r="F67" s="6">
        <f t="shared" si="6"/>
        <v>11.2256</v>
      </c>
      <c r="G67" s="6">
        <f t="shared" si="7"/>
        <v>10.300800000000001</v>
      </c>
      <c r="H67" s="6">
        <f t="shared" si="8"/>
        <v>15.936</v>
      </c>
    </row>
    <row r="68" spans="1:8" x14ac:dyDescent="0.25">
      <c r="A68" s="1" t="s">
        <v>16</v>
      </c>
      <c r="B68" s="1">
        <f>65*60+50</f>
        <v>3950</v>
      </c>
      <c r="C68" s="1">
        <f>78*60+20</f>
        <v>4700</v>
      </c>
      <c r="D68" s="1">
        <f>105*60+47</f>
        <v>6347</v>
      </c>
      <c r="E68" s="5">
        <f>B43*0.8</f>
        <v>1.04E-2</v>
      </c>
      <c r="F68" s="6">
        <f t="shared" si="6"/>
        <v>41.08</v>
      </c>
      <c r="G68" s="6">
        <f t="shared" si="7"/>
        <v>48.879999999999995</v>
      </c>
      <c r="H68" s="6">
        <f t="shared" si="8"/>
        <v>66.008799999999994</v>
      </c>
    </row>
    <row r="69" spans="1:8" x14ac:dyDescent="0.25">
      <c r="A69" s="1" t="s">
        <v>17</v>
      </c>
      <c r="B69" s="1">
        <f>5*60+50</f>
        <v>350</v>
      </c>
      <c r="C69" s="1">
        <f>16*60+21</f>
        <v>981</v>
      </c>
      <c r="D69" s="1">
        <f>12*60+4</f>
        <v>724</v>
      </c>
      <c r="E69" s="5">
        <f>B44*0.8</f>
        <v>1.9200000000000002E-2</v>
      </c>
      <c r="F69" s="6">
        <f t="shared" si="6"/>
        <v>6.7200000000000006</v>
      </c>
      <c r="G69" s="6">
        <f t="shared" si="7"/>
        <v>18.8352</v>
      </c>
      <c r="H69" s="6">
        <f t="shared" si="8"/>
        <v>13.900800000000002</v>
      </c>
    </row>
    <row r="70" spans="1:8" x14ac:dyDescent="0.25">
      <c r="A70" s="1" t="s">
        <v>18</v>
      </c>
    </row>
    <row r="72" spans="1:8" x14ac:dyDescent="0.25">
      <c r="B72" s="2">
        <v>118</v>
      </c>
      <c r="C72" s="2">
        <v>118</v>
      </c>
      <c r="D72" s="2">
        <v>129</v>
      </c>
      <c r="F72" s="6">
        <f>SUM(F65:F71)</f>
        <v>69.265600000000006</v>
      </c>
      <c r="G72" s="6">
        <f>SUM(G65:G71)</f>
        <v>88.256</v>
      </c>
      <c r="H72" s="6">
        <f>SUM(H65:H71)</f>
        <v>106.0856</v>
      </c>
    </row>
    <row r="75" spans="1:8" x14ac:dyDescent="0.25">
      <c r="A75" s="1" t="s">
        <v>45</v>
      </c>
    </row>
    <row r="76" spans="1:8" x14ac:dyDescent="0.25">
      <c r="B76" s="1" t="s">
        <v>49</v>
      </c>
      <c r="C76" s="1" t="s">
        <v>46</v>
      </c>
      <c r="D76" s="1" t="s">
        <v>47</v>
      </c>
      <c r="E76" s="1" t="s">
        <v>48</v>
      </c>
    </row>
    <row r="77" spans="1:8" x14ac:dyDescent="0.25">
      <c r="A77" s="1" t="s">
        <v>4</v>
      </c>
      <c r="B77" s="5">
        <f>B40</f>
        <v>1.2</v>
      </c>
      <c r="C77" s="1">
        <v>15</v>
      </c>
      <c r="D77" s="6">
        <f>C77*B77</f>
        <v>18</v>
      </c>
      <c r="E77" s="6">
        <f>D77</f>
        <v>18</v>
      </c>
    </row>
    <row r="78" spans="1:8" x14ac:dyDescent="0.25">
      <c r="A78" s="1" t="s">
        <v>2</v>
      </c>
      <c r="B78" s="5">
        <f t="shared" ref="B78" si="9">B41</f>
        <v>2</v>
      </c>
      <c r="C78" s="1">
        <v>1</v>
      </c>
      <c r="D78" s="6">
        <f t="shared" ref="D78:D82" si="10">C78*B78</f>
        <v>2</v>
      </c>
      <c r="E78" s="6">
        <f t="shared" ref="E78" si="11">D78</f>
        <v>2</v>
      </c>
    </row>
    <row r="79" spans="1:8" x14ac:dyDescent="0.25">
      <c r="A79" s="1" t="s">
        <v>15</v>
      </c>
      <c r="B79" s="5">
        <f>B42*2</f>
        <v>8.0000000000000002E-3</v>
      </c>
      <c r="C79" s="1">
        <v>1500</v>
      </c>
      <c r="D79" s="6">
        <f t="shared" si="10"/>
        <v>12</v>
      </c>
      <c r="E79" s="6"/>
    </row>
    <row r="80" spans="1:8" x14ac:dyDescent="0.25">
      <c r="A80" s="1" t="s">
        <v>16</v>
      </c>
      <c r="B80" s="5">
        <f>B43*2</f>
        <v>2.5999999999999999E-2</v>
      </c>
      <c r="C80" s="1">
        <v>1500</v>
      </c>
      <c r="D80" s="6">
        <f t="shared" si="10"/>
        <v>39</v>
      </c>
      <c r="E80" s="6"/>
    </row>
    <row r="81" spans="1:6" x14ac:dyDescent="0.25">
      <c r="A81" s="1" t="s">
        <v>17</v>
      </c>
      <c r="B81" s="5">
        <f>B44*2</f>
        <v>4.8000000000000001E-2</v>
      </c>
      <c r="C81" s="1">
        <v>2000</v>
      </c>
      <c r="D81" s="6">
        <f t="shared" si="10"/>
        <v>96</v>
      </c>
      <c r="E81" s="6">
        <v>240</v>
      </c>
    </row>
    <row r="82" spans="1:6" x14ac:dyDescent="0.25">
      <c r="A82" s="1" t="s">
        <v>18</v>
      </c>
      <c r="B82" s="5">
        <f>B45*2</f>
        <v>0.02</v>
      </c>
      <c r="D82" s="6">
        <f t="shared" si="10"/>
        <v>0</v>
      </c>
    </row>
    <row r="83" spans="1:6" x14ac:dyDescent="0.25">
      <c r="B83" s="5"/>
      <c r="D83" s="6">
        <f>SUM(D77:D82)</f>
        <v>167</v>
      </c>
      <c r="E83" s="6">
        <f>SUM(E77:E82)</f>
        <v>260</v>
      </c>
    </row>
    <row r="84" spans="1:6" x14ac:dyDescent="0.25">
      <c r="B84" s="5"/>
    </row>
    <row r="85" spans="1:6" x14ac:dyDescent="0.25">
      <c r="A85" s="1" t="s">
        <v>50</v>
      </c>
    </row>
    <row r="86" spans="1:6" x14ac:dyDescent="0.25">
      <c r="A86" s="1" t="s">
        <v>4</v>
      </c>
      <c r="B86" s="14">
        <f>B20*2</f>
        <v>1.2</v>
      </c>
      <c r="C86" s="1">
        <v>12</v>
      </c>
      <c r="D86" s="14">
        <f>C86*B86</f>
        <v>14.399999999999999</v>
      </c>
    </row>
    <row r="87" spans="1:6" x14ac:dyDescent="0.25">
      <c r="A87" s="1" t="s">
        <v>2</v>
      </c>
      <c r="B87" s="14">
        <f t="shared" ref="B87:B91" si="12">B21*2</f>
        <v>2</v>
      </c>
      <c r="C87" s="1">
        <v>0</v>
      </c>
      <c r="D87" s="14">
        <f t="shared" ref="D87:D89" si="13">C87*B87</f>
        <v>0</v>
      </c>
    </row>
    <row r="88" spans="1:6" x14ac:dyDescent="0.25">
      <c r="A88" s="1" t="s">
        <v>15</v>
      </c>
      <c r="B88" s="14">
        <f t="shared" si="12"/>
        <v>4.0000000000000001E-3</v>
      </c>
      <c r="C88" s="1">
        <v>22000</v>
      </c>
      <c r="D88" s="14">
        <f t="shared" si="13"/>
        <v>88</v>
      </c>
    </row>
    <row r="89" spans="1:6" x14ac:dyDescent="0.25">
      <c r="A89" s="1" t="s">
        <v>16</v>
      </c>
      <c r="B89" s="14">
        <f t="shared" si="12"/>
        <v>1.2999999999999999E-2</v>
      </c>
      <c r="C89" s="1">
        <v>22000</v>
      </c>
      <c r="D89" s="14">
        <f t="shared" si="13"/>
        <v>286</v>
      </c>
    </row>
    <row r="90" spans="1:6" x14ac:dyDescent="0.25">
      <c r="A90" s="1" t="s">
        <v>17</v>
      </c>
      <c r="B90" s="14">
        <f t="shared" si="12"/>
        <v>2.4E-2</v>
      </c>
    </row>
    <row r="91" spans="1:6" x14ac:dyDescent="0.25">
      <c r="A91" s="1" t="s">
        <v>18</v>
      </c>
      <c r="B91" s="14">
        <f t="shared" si="12"/>
        <v>0.01</v>
      </c>
    </row>
    <row r="92" spans="1:6" x14ac:dyDescent="0.25">
      <c r="D92" s="14">
        <f>SUM(D86:D91)</f>
        <v>388.4</v>
      </c>
    </row>
    <row r="94" spans="1:6" x14ac:dyDescent="0.25">
      <c r="A94" s="1" t="s">
        <v>51</v>
      </c>
      <c r="C94" s="1" t="s">
        <v>52</v>
      </c>
      <c r="D94" s="1" t="s">
        <v>53</v>
      </c>
      <c r="E94" s="1" t="s">
        <v>54</v>
      </c>
      <c r="F94" s="1" t="s">
        <v>55</v>
      </c>
    </row>
    <row r="95" spans="1:6" x14ac:dyDescent="0.25">
      <c r="A95" s="1" t="s">
        <v>4</v>
      </c>
      <c r="B95" s="14">
        <f>B20*2</f>
        <v>1.2</v>
      </c>
      <c r="C95" s="1">
        <v>1</v>
      </c>
      <c r="D95" s="1">
        <v>1</v>
      </c>
      <c r="E95" s="14">
        <f>C95*B95</f>
        <v>1.2</v>
      </c>
      <c r="F95" s="14">
        <f>D95*B95</f>
        <v>1.2</v>
      </c>
    </row>
    <row r="96" spans="1:6" x14ac:dyDescent="0.25">
      <c r="A96" s="1" t="s">
        <v>2</v>
      </c>
      <c r="B96" s="14">
        <f t="shared" ref="B96:B100" si="14">B21*2</f>
        <v>2</v>
      </c>
      <c r="E96" s="14">
        <f t="shared" ref="E96:E100" si="15">C96*B96</f>
        <v>0</v>
      </c>
      <c r="F96" s="14">
        <f t="shared" ref="F96:F100" si="16">D96*B96</f>
        <v>0</v>
      </c>
    </row>
    <row r="97" spans="1:6" x14ac:dyDescent="0.25">
      <c r="A97" s="1" t="s">
        <v>15</v>
      </c>
      <c r="B97" s="14">
        <f t="shared" si="14"/>
        <v>4.0000000000000001E-3</v>
      </c>
      <c r="C97" s="1">
        <v>500</v>
      </c>
      <c r="D97" s="1">
        <v>1000</v>
      </c>
      <c r="E97" s="14">
        <f t="shared" si="15"/>
        <v>2</v>
      </c>
      <c r="F97" s="14">
        <f t="shared" si="16"/>
        <v>4</v>
      </c>
    </row>
    <row r="98" spans="1:6" x14ac:dyDescent="0.25">
      <c r="A98" s="1" t="s">
        <v>16</v>
      </c>
      <c r="B98" s="14">
        <f t="shared" si="14"/>
        <v>1.2999999999999999E-2</v>
      </c>
      <c r="C98" s="1">
        <v>500</v>
      </c>
      <c r="D98" s="1">
        <v>1000</v>
      </c>
      <c r="E98" s="14">
        <f t="shared" si="15"/>
        <v>6.5</v>
      </c>
      <c r="F98" s="14">
        <f t="shared" si="16"/>
        <v>13</v>
      </c>
    </row>
    <row r="99" spans="1:6" x14ac:dyDescent="0.25">
      <c r="A99" s="1" t="s">
        <v>17</v>
      </c>
      <c r="B99" s="14">
        <f t="shared" si="14"/>
        <v>2.4E-2</v>
      </c>
      <c r="E99" s="14">
        <f t="shared" si="15"/>
        <v>0</v>
      </c>
      <c r="F99" s="14">
        <f t="shared" si="16"/>
        <v>0</v>
      </c>
    </row>
    <row r="100" spans="1:6" x14ac:dyDescent="0.25">
      <c r="A100" s="1" t="s">
        <v>18</v>
      </c>
      <c r="B100" s="14">
        <f t="shared" si="14"/>
        <v>0.01</v>
      </c>
      <c r="E100" s="14">
        <f t="shared" si="15"/>
        <v>0</v>
      </c>
      <c r="F100" s="14">
        <f t="shared" si="16"/>
        <v>0</v>
      </c>
    </row>
    <row r="101" spans="1:6" x14ac:dyDescent="0.25">
      <c r="E101" s="14">
        <f>SUM(E95:E100)</f>
        <v>9.6999999999999993</v>
      </c>
      <c r="F101" s="14">
        <f>SUM(F95:F100)</f>
        <v>18.2</v>
      </c>
    </row>
    <row r="103" spans="1:6" x14ac:dyDescent="0.25">
      <c r="A103" s="1" t="s">
        <v>56</v>
      </c>
    </row>
    <row r="104" spans="1:6" x14ac:dyDescent="0.25">
      <c r="A104" s="1" t="s">
        <v>4</v>
      </c>
      <c r="B104" s="14">
        <f>B95</f>
        <v>1.2</v>
      </c>
      <c r="C104" s="1">
        <v>1</v>
      </c>
      <c r="D104" s="14">
        <f>C104*B104</f>
        <v>1.2</v>
      </c>
    </row>
    <row r="105" spans="1:6" x14ac:dyDescent="0.25">
      <c r="A105" s="1" t="s">
        <v>2</v>
      </c>
      <c r="B105" s="14">
        <f t="shared" ref="B105:B109" si="17">B96</f>
        <v>2</v>
      </c>
      <c r="D105" s="14">
        <f t="shared" ref="D105:D109" si="18">C105*B105</f>
        <v>0</v>
      </c>
    </row>
    <row r="106" spans="1:6" x14ac:dyDescent="0.25">
      <c r="A106" s="1" t="s">
        <v>15</v>
      </c>
      <c r="B106" s="14">
        <f t="shared" si="17"/>
        <v>4.0000000000000001E-3</v>
      </c>
      <c r="C106" s="1">
        <v>15000</v>
      </c>
      <c r="D106" s="14">
        <f t="shared" si="18"/>
        <v>60</v>
      </c>
    </row>
    <row r="107" spans="1:6" x14ac:dyDescent="0.25">
      <c r="A107" s="1" t="s">
        <v>16</v>
      </c>
      <c r="B107" s="14">
        <f t="shared" si="17"/>
        <v>1.2999999999999999E-2</v>
      </c>
      <c r="C107" s="1">
        <v>15000</v>
      </c>
      <c r="D107" s="14">
        <f t="shared" si="18"/>
        <v>195</v>
      </c>
    </row>
    <row r="108" spans="1:6" x14ac:dyDescent="0.25">
      <c r="A108" s="1" t="s">
        <v>17</v>
      </c>
      <c r="B108" s="14">
        <f t="shared" si="17"/>
        <v>2.4E-2</v>
      </c>
      <c r="D108" s="14">
        <f t="shared" si="18"/>
        <v>0</v>
      </c>
    </row>
    <row r="109" spans="1:6" x14ac:dyDescent="0.25">
      <c r="A109" s="1" t="s">
        <v>18</v>
      </c>
      <c r="B109" s="14">
        <f t="shared" si="17"/>
        <v>0.01</v>
      </c>
      <c r="D109" s="14">
        <f t="shared" si="18"/>
        <v>0</v>
      </c>
    </row>
    <row r="110" spans="1:6" x14ac:dyDescent="0.25">
      <c r="D110" s="14">
        <f>SUM(D104:D109)</f>
        <v>256.2</v>
      </c>
    </row>
    <row r="111" spans="1:6" x14ac:dyDescent="0.25">
      <c r="D111" s="14">
        <f>D110*12</f>
        <v>3074.3999999999996</v>
      </c>
    </row>
    <row r="114" spans="1:6" x14ac:dyDescent="0.25">
      <c r="A114" s="1" t="s">
        <v>57</v>
      </c>
    </row>
    <row r="115" spans="1:6" x14ac:dyDescent="0.25">
      <c r="D115" s="1" t="s">
        <v>49</v>
      </c>
      <c r="E115" s="1" t="s">
        <v>19</v>
      </c>
    </row>
    <row r="116" spans="1:6" x14ac:dyDescent="0.25">
      <c r="A116" s="1" t="s">
        <v>4</v>
      </c>
      <c r="B116" s="5">
        <f>B20*4</f>
        <v>2.4</v>
      </c>
      <c r="C116" s="1">
        <v>448</v>
      </c>
      <c r="D116" s="8">
        <f>C116*B116</f>
        <v>1075.2</v>
      </c>
      <c r="E116" s="14">
        <f>C116*B20</f>
        <v>268.8</v>
      </c>
    </row>
    <row r="117" spans="1:6" x14ac:dyDescent="0.25">
      <c r="A117" s="1" t="s">
        <v>2</v>
      </c>
      <c r="B117" s="5">
        <f t="shared" ref="B117:B121" si="19">B21*4</f>
        <v>4</v>
      </c>
      <c r="D117" s="8">
        <f t="shared" ref="D117:D121" si="20">C117*B117</f>
        <v>0</v>
      </c>
      <c r="E117" s="14">
        <f t="shared" ref="E117:E121" si="21">C117*B21</f>
        <v>0</v>
      </c>
    </row>
    <row r="118" spans="1:6" x14ac:dyDescent="0.25">
      <c r="A118" s="1" t="s">
        <v>15</v>
      </c>
      <c r="B118" s="5">
        <f>B22*5</f>
        <v>0.01</v>
      </c>
      <c r="C118" s="1">
        <v>343560</v>
      </c>
      <c r="D118" s="8">
        <f t="shared" si="20"/>
        <v>3435.6</v>
      </c>
      <c r="E118" s="14">
        <f t="shared" si="21"/>
        <v>687.12</v>
      </c>
    </row>
    <row r="119" spans="1:6" x14ac:dyDescent="0.25">
      <c r="A119" s="1" t="s">
        <v>16</v>
      </c>
      <c r="B119" s="5">
        <f>B23*8</f>
        <v>5.1999999999999998E-2</v>
      </c>
      <c r="C119" s="1">
        <v>5000</v>
      </c>
      <c r="D119" s="8">
        <f t="shared" si="20"/>
        <v>260</v>
      </c>
      <c r="E119" s="14">
        <f t="shared" si="21"/>
        <v>32.5</v>
      </c>
    </row>
    <row r="120" spans="1:6" x14ac:dyDescent="0.25">
      <c r="A120" s="1" t="s">
        <v>17</v>
      </c>
      <c r="B120" s="5">
        <f>B24*8</f>
        <v>9.6000000000000002E-2</v>
      </c>
      <c r="D120" s="8">
        <f t="shared" si="20"/>
        <v>0</v>
      </c>
      <c r="E120" s="14">
        <f t="shared" si="21"/>
        <v>0</v>
      </c>
    </row>
    <row r="121" spans="1:6" x14ac:dyDescent="0.25">
      <c r="A121" s="1" t="s">
        <v>18</v>
      </c>
      <c r="B121" s="5">
        <f t="shared" si="19"/>
        <v>0.02</v>
      </c>
      <c r="D121" s="8">
        <f t="shared" si="20"/>
        <v>0</v>
      </c>
      <c r="E121" s="14">
        <f t="shared" si="21"/>
        <v>0</v>
      </c>
    </row>
    <row r="122" spans="1:6" x14ac:dyDescent="0.25">
      <c r="D122" s="8">
        <f>SUM(D116:D121)</f>
        <v>4770.8</v>
      </c>
      <c r="E122" s="8">
        <f>SUM(E116:E121)</f>
        <v>988.42000000000007</v>
      </c>
      <c r="F122" s="15">
        <f>(D122-E122)/D122</f>
        <v>0.79281881445459879</v>
      </c>
    </row>
    <row r="123" spans="1:6" x14ac:dyDescent="0.25">
      <c r="D123" s="2">
        <v>7807.05</v>
      </c>
    </row>
    <row r="124" spans="1:6" x14ac:dyDescent="0.25">
      <c r="D124" s="8">
        <f>D123-D122</f>
        <v>3036.25</v>
      </c>
    </row>
    <row r="125" spans="1:6" x14ac:dyDescent="0.25">
      <c r="D125" s="15">
        <f>D124/D123</f>
        <v>0.38891130452603734</v>
      </c>
    </row>
    <row r="127" spans="1:6" x14ac:dyDescent="0.25">
      <c r="A127" s="1" t="s">
        <v>58</v>
      </c>
    </row>
    <row r="128" spans="1:6" x14ac:dyDescent="0.25">
      <c r="A128" s="1" t="s">
        <v>4</v>
      </c>
      <c r="B128" s="8">
        <f>B20*3</f>
        <v>1.7999999999999998</v>
      </c>
      <c r="C128" s="1">
        <v>0</v>
      </c>
      <c r="D128" s="8">
        <f>C128*B128</f>
        <v>0</v>
      </c>
    </row>
    <row r="129" spans="1:4" x14ac:dyDescent="0.25">
      <c r="A129" s="1" t="s">
        <v>2</v>
      </c>
      <c r="B129" s="8">
        <f t="shared" ref="B129:B133" si="22">B21*3</f>
        <v>3</v>
      </c>
      <c r="C129" s="1">
        <v>1</v>
      </c>
      <c r="D129" s="8">
        <f t="shared" ref="D129:D133" si="23">C129*B129</f>
        <v>3</v>
      </c>
    </row>
    <row r="130" spans="1:4" x14ac:dyDescent="0.25">
      <c r="A130" s="1" t="s">
        <v>15</v>
      </c>
      <c r="B130" s="8">
        <f t="shared" si="22"/>
        <v>6.0000000000000001E-3</v>
      </c>
      <c r="C130" s="1">
        <v>500</v>
      </c>
      <c r="D130" s="8">
        <f t="shared" si="23"/>
        <v>3</v>
      </c>
    </row>
    <row r="131" spans="1:4" x14ac:dyDescent="0.25">
      <c r="A131" s="1" t="s">
        <v>16</v>
      </c>
      <c r="B131" s="8">
        <f t="shared" si="22"/>
        <v>1.95E-2</v>
      </c>
      <c r="C131" s="1">
        <v>1000</v>
      </c>
      <c r="D131" s="8">
        <f t="shared" si="23"/>
        <v>19.5</v>
      </c>
    </row>
    <row r="132" spans="1:4" x14ac:dyDescent="0.25">
      <c r="A132" s="1" t="s">
        <v>17</v>
      </c>
      <c r="B132" s="8">
        <f t="shared" si="22"/>
        <v>3.6000000000000004E-2</v>
      </c>
      <c r="C132" s="1">
        <v>10000</v>
      </c>
      <c r="D132" s="8">
        <f t="shared" si="23"/>
        <v>360.00000000000006</v>
      </c>
    </row>
    <row r="133" spans="1:4" x14ac:dyDescent="0.25">
      <c r="A133" s="1" t="s">
        <v>18</v>
      </c>
      <c r="B133" s="8">
        <f t="shared" si="22"/>
        <v>1.4999999999999999E-2</v>
      </c>
      <c r="D133" s="8">
        <f t="shared" si="23"/>
        <v>0</v>
      </c>
    </row>
    <row r="134" spans="1:4" x14ac:dyDescent="0.25">
      <c r="D134" s="8">
        <f>SUM(D128:D133)</f>
        <v>385.50000000000006</v>
      </c>
    </row>
    <row r="136" spans="1:4" x14ac:dyDescent="0.25">
      <c r="A136" s="1" t="s">
        <v>59</v>
      </c>
    </row>
    <row r="137" spans="1:4" x14ac:dyDescent="0.25">
      <c r="A137" s="1" t="s">
        <v>4</v>
      </c>
      <c r="B137" s="8">
        <f>B20*3</f>
        <v>1.7999999999999998</v>
      </c>
      <c r="C137" s="1">
        <v>1</v>
      </c>
      <c r="D137" s="8">
        <f>C137*B137</f>
        <v>1.7999999999999998</v>
      </c>
    </row>
    <row r="138" spans="1:4" x14ac:dyDescent="0.25">
      <c r="A138" s="1" t="s">
        <v>2</v>
      </c>
      <c r="B138" s="8">
        <f t="shared" ref="B138:B141" si="24">B21*3</f>
        <v>3</v>
      </c>
      <c r="C138" s="1">
        <v>0</v>
      </c>
      <c r="D138" s="8">
        <f t="shared" ref="D138:D142" si="25">C138*B138</f>
        <v>0</v>
      </c>
    </row>
    <row r="139" spans="1:4" x14ac:dyDescent="0.25">
      <c r="A139" s="1" t="s">
        <v>15</v>
      </c>
      <c r="B139" s="8">
        <f t="shared" si="24"/>
        <v>6.0000000000000001E-3</v>
      </c>
      <c r="C139" s="1">
        <v>1000</v>
      </c>
      <c r="D139" s="8">
        <f t="shared" si="25"/>
        <v>6</v>
      </c>
    </row>
    <row r="140" spans="1:4" x14ac:dyDescent="0.25">
      <c r="A140" s="1" t="s">
        <v>16</v>
      </c>
      <c r="B140" s="8">
        <f t="shared" si="24"/>
        <v>1.95E-2</v>
      </c>
      <c r="C140" s="1">
        <v>1000</v>
      </c>
      <c r="D140" s="8">
        <f t="shared" si="25"/>
        <v>19.5</v>
      </c>
    </row>
    <row r="141" spans="1:4" x14ac:dyDescent="0.25">
      <c r="A141" s="1" t="s">
        <v>17</v>
      </c>
      <c r="B141" s="8">
        <f t="shared" si="24"/>
        <v>3.6000000000000004E-2</v>
      </c>
      <c r="C141" s="1">
        <v>0</v>
      </c>
      <c r="D141" s="8">
        <f t="shared" si="25"/>
        <v>0</v>
      </c>
    </row>
    <row r="142" spans="1:4" x14ac:dyDescent="0.25">
      <c r="A142" s="1" t="s">
        <v>18</v>
      </c>
      <c r="B142" s="8">
        <f>B25*4</f>
        <v>0.02</v>
      </c>
      <c r="D142" s="8">
        <f t="shared" si="25"/>
        <v>0</v>
      </c>
    </row>
    <row r="143" spans="1:4" x14ac:dyDescent="0.25">
      <c r="D143" s="8">
        <f>SUM(D137:D142)</f>
        <v>27.3</v>
      </c>
    </row>
    <row r="145" spans="1:4" x14ac:dyDescent="0.25">
      <c r="A145" s="1" t="s">
        <v>60</v>
      </c>
    </row>
    <row r="146" spans="1:4" x14ac:dyDescent="0.25">
      <c r="A146" s="1" t="s">
        <v>4</v>
      </c>
      <c r="B146" s="8">
        <f>$B$20*3</f>
        <v>1.7999999999999998</v>
      </c>
      <c r="C146" s="1">
        <v>1</v>
      </c>
      <c r="D146" s="8">
        <f>C146*B146</f>
        <v>1.7999999999999998</v>
      </c>
    </row>
    <row r="147" spans="1:4" x14ac:dyDescent="0.25">
      <c r="A147" s="1" t="s">
        <v>2</v>
      </c>
      <c r="B147" s="8">
        <f>$B$21*3</f>
        <v>3</v>
      </c>
      <c r="C147" s="1">
        <v>0</v>
      </c>
      <c r="D147" s="8">
        <f t="shared" ref="D147:D151" si="26">C147*B147</f>
        <v>0</v>
      </c>
    </row>
    <row r="148" spans="1:4" x14ac:dyDescent="0.25">
      <c r="A148" s="1" t="s">
        <v>15</v>
      </c>
      <c r="B148" s="8">
        <f>$B$22*3</f>
        <v>6.0000000000000001E-3</v>
      </c>
      <c r="C148" s="1">
        <f>25*60</f>
        <v>1500</v>
      </c>
      <c r="D148" s="8">
        <f t="shared" si="26"/>
        <v>9</v>
      </c>
    </row>
    <row r="149" spans="1:4" x14ac:dyDescent="0.25">
      <c r="A149" s="1" t="s">
        <v>16</v>
      </c>
      <c r="B149" s="8">
        <f>$B$23*3</f>
        <v>1.95E-2</v>
      </c>
      <c r="C149" s="1">
        <f>25*60</f>
        <v>1500</v>
      </c>
      <c r="D149" s="8">
        <f t="shared" si="26"/>
        <v>29.25</v>
      </c>
    </row>
    <row r="150" spans="1:4" x14ac:dyDescent="0.25">
      <c r="A150" s="1" t="s">
        <v>17</v>
      </c>
      <c r="B150" s="8">
        <f>$B$24*3</f>
        <v>3.6000000000000004E-2</v>
      </c>
      <c r="C150" s="1">
        <v>0</v>
      </c>
      <c r="D150" s="8">
        <f t="shared" si="26"/>
        <v>0</v>
      </c>
    </row>
    <row r="151" spans="1:4" x14ac:dyDescent="0.25">
      <c r="A151" s="1" t="s">
        <v>18</v>
      </c>
      <c r="B151" s="8">
        <f>$B$25*3</f>
        <v>1.4999999999999999E-2</v>
      </c>
      <c r="D151" s="8">
        <f t="shared" si="26"/>
        <v>0</v>
      </c>
    </row>
    <row r="152" spans="1:4" x14ac:dyDescent="0.25">
      <c r="D152" s="8">
        <f>SUM(D146:D151)</f>
        <v>40.049999999999997</v>
      </c>
    </row>
    <row r="154" spans="1:4" x14ac:dyDescent="0.25">
      <c r="A154" s="1" t="s">
        <v>61</v>
      </c>
    </row>
    <row r="156" spans="1:4" x14ac:dyDescent="0.25">
      <c r="A156" s="1" t="s">
        <v>4</v>
      </c>
      <c r="B156" s="8">
        <f>$B$20*3</f>
        <v>1.7999999999999998</v>
      </c>
      <c r="C156" s="1">
        <v>46</v>
      </c>
      <c r="D156" s="8">
        <f>C156*B156</f>
        <v>82.8</v>
      </c>
    </row>
    <row r="157" spans="1:4" x14ac:dyDescent="0.25">
      <c r="A157" s="1" t="s">
        <v>2</v>
      </c>
      <c r="B157" s="8">
        <f>$B$21*3</f>
        <v>3</v>
      </c>
      <c r="C157" s="1">
        <v>0</v>
      </c>
      <c r="D157" s="8">
        <f t="shared" ref="D157:D161" si="27">C157*B157</f>
        <v>0</v>
      </c>
    </row>
    <row r="158" spans="1:4" x14ac:dyDescent="0.25">
      <c r="A158" s="1" t="s">
        <v>15</v>
      </c>
      <c r="B158" s="8">
        <f>$B$22*3</f>
        <v>6.0000000000000001E-3</v>
      </c>
      <c r="C158" s="1">
        <v>5000</v>
      </c>
      <c r="D158" s="8">
        <f t="shared" si="27"/>
        <v>30</v>
      </c>
    </row>
    <row r="159" spans="1:4" x14ac:dyDescent="0.25">
      <c r="A159" s="1" t="s">
        <v>16</v>
      </c>
      <c r="B159" s="8">
        <f>$B$23*3</f>
        <v>1.95E-2</v>
      </c>
      <c r="C159" s="1">
        <v>5000</v>
      </c>
      <c r="D159" s="8">
        <f t="shared" si="27"/>
        <v>97.5</v>
      </c>
    </row>
    <row r="160" spans="1:4" x14ac:dyDescent="0.25">
      <c r="A160" s="1" t="s">
        <v>17</v>
      </c>
      <c r="B160" s="8">
        <f>$B$24*3</f>
        <v>3.6000000000000004E-2</v>
      </c>
      <c r="C160" s="1">
        <v>0</v>
      </c>
      <c r="D160" s="8">
        <f t="shared" si="27"/>
        <v>0</v>
      </c>
    </row>
    <row r="161" spans="1:4" x14ac:dyDescent="0.25">
      <c r="A161" s="1" t="s">
        <v>18</v>
      </c>
      <c r="B161" s="8">
        <f>$B$25*3</f>
        <v>1.4999999999999999E-2</v>
      </c>
      <c r="D161" s="8">
        <f t="shared" si="27"/>
        <v>0</v>
      </c>
    </row>
    <row r="162" spans="1:4" x14ac:dyDescent="0.25">
      <c r="D162" s="8">
        <f>SUM(D156:D161)</f>
        <v>210.3</v>
      </c>
    </row>
    <row r="164" spans="1:4" x14ac:dyDescent="0.25">
      <c r="A164" s="1" t="s">
        <v>38</v>
      </c>
    </row>
    <row r="165" spans="1:4" x14ac:dyDescent="0.25">
      <c r="A165" s="1">
        <v>4</v>
      </c>
    </row>
    <row r="166" spans="1:4" x14ac:dyDescent="0.25">
      <c r="A166" s="1" t="s">
        <v>4</v>
      </c>
      <c r="B166" s="8">
        <f>$B$20*$A$165</f>
        <v>2.4</v>
      </c>
      <c r="C166" s="1">
        <v>7</v>
      </c>
      <c r="D166" s="8">
        <f>C166*B166</f>
        <v>16.8</v>
      </c>
    </row>
    <row r="167" spans="1:4" x14ac:dyDescent="0.25">
      <c r="A167" s="1" t="s">
        <v>2</v>
      </c>
      <c r="B167" s="8">
        <f>$B$21*$A$165</f>
        <v>4</v>
      </c>
      <c r="C167" s="1">
        <v>0</v>
      </c>
      <c r="D167" s="8">
        <f t="shared" ref="D167:D171" si="28">C167*B167</f>
        <v>0</v>
      </c>
    </row>
    <row r="168" spans="1:4" x14ac:dyDescent="0.25">
      <c r="A168" s="1" t="s">
        <v>15</v>
      </c>
      <c r="B168" s="8">
        <f>$B$22*$A$165</f>
        <v>8.0000000000000002E-3</v>
      </c>
      <c r="C168" s="1">
        <v>0</v>
      </c>
      <c r="D168" s="8">
        <f t="shared" si="28"/>
        <v>0</v>
      </c>
    </row>
    <row r="169" spans="1:4" x14ac:dyDescent="0.25">
      <c r="A169" s="1" t="s">
        <v>16</v>
      </c>
      <c r="B169" s="8">
        <f>$B$23*$A$165</f>
        <v>2.5999999999999999E-2</v>
      </c>
      <c r="C169" s="1">
        <v>0</v>
      </c>
      <c r="D169" s="8">
        <f t="shared" si="28"/>
        <v>0</v>
      </c>
    </row>
    <row r="170" spans="1:4" x14ac:dyDescent="0.25">
      <c r="A170" s="1" t="s">
        <v>17</v>
      </c>
      <c r="B170" s="8">
        <f>$B$24*$A$165</f>
        <v>4.8000000000000001E-2</v>
      </c>
      <c r="D170" s="8">
        <f t="shared" si="28"/>
        <v>0</v>
      </c>
    </row>
    <row r="171" spans="1:4" x14ac:dyDescent="0.25">
      <c r="A171" s="1" t="s">
        <v>18</v>
      </c>
      <c r="B171" s="16">
        <f>$B$25*$A$165</f>
        <v>0.02</v>
      </c>
      <c r="C171" s="1">
        <v>3000</v>
      </c>
      <c r="D171" s="8">
        <f t="shared" si="28"/>
        <v>60</v>
      </c>
    </row>
    <row r="172" spans="1:4" x14ac:dyDescent="0.25">
      <c r="D172" s="8">
        <f>SUM(D166:D171)</f>
        <v>76.8</v>
      </c>
    </row>
    <row r="173" spans="1:4" x14ac:dyDescent="0.25">
      <c r="D173" s="8"/>
    </row>
    <row r="174" spans="1:4" x14ac:dyDescent="0.25">
      <c r="A174" s="1" t="s">
        <v>62</v>
      </c>
    </row>
    <row r="176" spans="1:4" x14ac:dyDescent="0.25">
      <c r="A176" s="1" t="s">
        <v>4</v>
      </c>
      <c r="B176" s="8">
        <f>$B$20*3</f>
        <v>1.7999999999999998</v>
      </c>
      <c r="C176" s="1">
        <v>3</v>
      </c>
      <c r="D176" s="8">
        <f>C176*B176</f>
        <v>5.3999999999999995</v>
      </c>
    </row>
    <row r="177" spans="1:4" x14ac:dyDescent="0.25">
      <c r="A177" s="1" t="s">
        <v>2</v>
      </c>
      <c r="B177" s="8">
        <f>$B$21*3</f>
        <v>3</v>
      </c>
      <c r="C177" s="1">
        <v>1</v>
      </c>
      <c r="D177" s="8">
        <f t="shared" ref="D177:D181" si="29">C177*B177</f>
        <v>3</v>
      </c>
    </row>
    <row r="178" spans="1:4" x14ac:dyDescent="0.25">
      <c r="A178" s="1" t="s">
        <v>15</v>
      </c>
      <c r="B178" s="8">
        <f>$B$22*3</f>
        <v>6.0000000000000001E-3</v>
      </c>
      <c r="C178" s="1">
        <v>32500</v>
      </c>
      <c r="D178" s="8">
        <f t="shared" si="29"/>
        <v>195</v>
      </c>
    </row>
    <row r="179" spans="1:4" x14ac:dyDescent="0.25">
      <c r="A179" s="1" t="s">
        <v>16</v>
      </c>
      <c r="B179" s="8">
        <f>$B$23*3</f>
        <v>1.95E-2</v>
      </c>
      <c r="C179" s="1">
        <v>32500</v>
      </c>
      <c r="D179" s="8">
        <f t="shared" si="29"/>
        <v>633.75</v>
      </c>
    </row>
    <row r="180" spans="1:4" x14ac:dyDescent="0.25">
      <c r="A180" s="1" t="s">
        <v>17</v>
      </c>
      <c r="B180" s="8">
        <f>$B$24*3</f>
        <v>3.6000000000000004E-2</v>
      </c>
      <c r="C180" s="1">
        <v>13000</v>
      </c>
      <c r="D180" s="8">
        <f t="shared" si="29"/>
        <v>468.00000000000006</v>
      </c>
    </row>
    <row r="181" spans="1:4" x14ac:dyDescent="0.25">
      <c r="A181" s="1" t="s">
        <v>18</v>
      </c>
      <c r="B181" s="5">
        <f>$B$25*3</f>
        <v>1.4999999999999999E-2</v>
      </c>
      <c r="C181" s="1">
        <v>1000</v>
      </c>
      <c r="D181" s="8">
        <f t="shared" si="29"/>
        <v>15</v>
      </c>
    </row>
    <row r="182" spans="1:4" x14ac:dyDescent="0.25">
      <c r="D182" s="8">
        <f>SUM(D176:D181)</f>
        <v>1320.15</v>
      </c>
    </row>
    <row r="184" spans="1:4" x14ac:dyDescent="0.25">
      <c r="A184" s="1" t="s">
        <v>63</v>
      </c>
    </row>
    <row r="186" spans="1:4" x14ac:dyDescent="0.25">
      <c r="A186" s="1" t="s">
        <v>4</v>
      </c>
      <c r="B186" s="8">
        <f>B20*3</f>
        <v>1.7999999999999998</v>
      </c>
      <c r="C186" s="1">
        <v>65</v>
      </c>
      <c r="D186" s="8">
        <f t="shared" ref="D186:D190" si="30">C186*B186</f>
        <v>116.99999999999999</v>
      </c>
    </row>
    <row r="187" spans="1:4" x14ac:dyDescent="0.25">
      <c r="A187" s="1" t="s">
        <v>2</v>
      </c>
      <c r="B187" s="8">
        <f t="shared" ref="B187:B191" si="31">B21*3</f>
        <v>3</v>
      </c>
      <c r="C187" s="1">
        <v>2</v>
      </c>
      <c r="D187" s="8">
        <f t="shared" si="30"/>
        <v>6</v>
      </c>
    </row>
    <row r="188" spans="1:4" x14ac:dyDescent="0.25">
      <c r="A188" s="1" t="s">
        <v>15</v>
      </c>
      <c r="B188" s="8">
        <f t="shared" si="31"/>
        <v>6.0000000000000001E-3</v>
      </c>
      <c r="C188" s="1">
        <v>30000</v>
      </c>
      <c r="D188" s="8">
        <f t="shared" si="30"/>
        <v>180</v>
      </c>
    </row>
    <row r="189" spans="1:4" x14ac:dyDescent="0.25">
      <c r="A189" s="1" t="s">
        <v>16</v>
      </c>
      <c r="B189" s="8">
        <f t="shared" si="31"/>
        <v>1.95E-2</v>
      </c>
      <c r="C189" s="1">
        <v>30000</v>
      </c>
      <c r="D189" s="8">
        <f t="shared" si="30"/>
        <v>585</v>
      </c>
    </row>
    <row r="190" spans="1:4" x14ac:dyDescent="0.25">
      <c r="A190" s="1" t="s">
        <v>17</v>
      </c>
      <c r="B190" s="8">
        <f t="shared" si="31"/>
        <v>3.6000000000000004E-2</v>
      </c>
      <c r="C190" s="1">
        <v>5000</v>
      </c>
      <c r="D190" s="8">
        <f t="shared" si="30"/>
        <v>180.00000000000003</v>
      </c>
    </row>
    <row r="191" spans="1:4" x14ac:dyDescent="0.25">
      <c r="A191" s="1" t="s">
        <v>18</v>
      </c>
      <c r="B191" s="8">
        <f t="shared" si="31"/>
        <v>1.4999999999999999E-2</v>
      </c>
      <c r="D191" s="8">
        <f>C191*B191</f>
        <v>0</v>
      </c>
    </row>
    <row r="192" spans="1:4" x14ac:dyDescent="0.25">
      <c r="D192" s="8">
        <f>SUM(D186:D191)</f>
        <v>1068</v>
      </c>
    </row>
  </sheetData>
  <mergeCells count="2">
    <mergeCell ref="B63:D63"/>
    <mergeCell ref="E63:H6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C929C8D84FD4CA1114D5E413A508D" ma:contentTypeVersion="17" ma:contentTypeDescription="Create a new document." ma:contentTypeScope="" ma:versionID="f77e8967b1b9d30901216577ea5d7531">
  <xsd:schema xmlns:xsd="http://www.w3.org/2001/XMLSchema" xmlns:xs="http://www.w3.org/2001/XMLSchema" xmlns:p="http://schemas.microsoft.com/office/2006/metadata/properties" xmlns:ns2="16b4b6b1-d2c9-4928-bfae-f1e3bc8b63aa" xmlns:ns3="f6d2920d-ad17-4fd3-9d1f-2eae7474d383" targetNamespace="http://schemas.microsoft.com/office/2006/metadata/properties" ma:root="true" ma:fieldsID="2d5c558999979fa23fe0b2ae54dfc980" ns2:_="" ns3:_="">
    <xsd:import namespace="16b4b6b1-d2c9-4928-bfae-f1e3bc8b63aa"/>
    <xsd:import namespace="f6d2920d-ad17-4fd3-9d1f-2eae7474d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4b6b1-d2c9-4928-bfae-f1e3bc8b6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d669529-232e-4304-9f4c-d464e5167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2920d-ad17-4fd3-9d1f-2eae7474d38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09b72b3-47b4-4a96-998f-2cef97a38fc0}" ma:internalName="TaxCatchAll" ma:showField="CatchAllData" ma:web="f6d2920d-ad17-4fd3-9d1f-2eae7474d3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d2920d-ad17-4fd3-9d1f-2eae7474d383" xsi:nil="true"/>
    <lcf76f155ced4ddcb4097134ff3c332f xmlns="16b4b6b1-d2c9-4928-bfae-f1e3bc8b63aa">
      <Terms xmlns="http://schemas.microsoft.com/office/infopath/2007/PartnerControls"/>
    </lcf76f155ced4ddcb4097134ff3c332f>
    <SharedWithUsers xmlns="f6d2920d-ad17-4fd3-9d1f-2eae7474d383">
      <UserInfo>
        <DisplayName/>
        <AccountId xsi:nil="true"/>
        <AccountType/>
      </UserInfo>
    </SharedWithUsers>
    <MediaLengthInSeconds xmlns="16b4b6b1-d2c9-4928-bfae-f1e3bc8b63aa" xsi:nil="true"/>
  </documentManagement>
</p:properties>
</file>

<file path=customXml/itemProps1.xml><?xml version="1.0" encoding="utf-8"?>
<ds:datastoreItem xmlns:ds="http://schemas.openxmlformats.org/officeDocument/2006/customXml" ds:itemID="{7FF5C289-B88D-49B2-A852-33B14CBEE3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76F4C-3487-4618-9FE4-3B62A90C8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b4b6b1-d2c9-4928-bfae-f1e3bc8b63aa"/>
    <ds:schemaRef ds:uri="f6d2920d-ad17-4fd3-9d1f-2eae7474d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331278-9E83-426C-82C8-AC6B0F1D8D6A}">
  <ds:schemaRefs>
    <ds:schemaRef ds:uri="http://schemas.microsoft.com/office/2006/metadata/properties"/>
    <ds:schemaRef ds:uri="http://schemas.microsoft.com/office/infopath/2007/PartnerControls"/>
    <ds:schemaRef ds:uri="f6d2920d-ad17-4fd3-9d1f-2eae7474d383"/>
    <ds:schemaRef ds:uri="16b4b6b1-d2c9-4928-bfae-f1e3bc8b63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Ravi Jain</dc:creator>
  <cp:lastModifiedBy>Ravi Jain</cp:lastModifiedBy>
  <dcterms:created xsi:type="dcterms:W3CDTF">2019-04-04T17:43:57Z</dcterms:created>
  <dcterms:modified xsi:type="dcterms:W3CDTF">2024-06-24T17:42:07Z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0x010100E1DC929C8D84FD4CA1114D5E413A508D</vt:lpwstr>
  </property>
  <property fmtid="{D5CDD505-2E9C-101B-9397-08002B2CF9AE}" pid="3" name="Order">
    <vt:r8>879400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